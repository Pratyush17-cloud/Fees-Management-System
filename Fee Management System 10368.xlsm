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635" windowHeight="7170"/>
  </bookViews>
  <sheets>
    <sheet name="Registration" sheetId="2" r:id="rId1"/>
    <sheet name="Fee" sheetId="1" r:id="rId2"/>
    <sheet name="Students Fee Details" sheetId="3" r:id="rId3"/>
    <sheet name="Report" sheetId="4" r:id="rId4"/>
  </sheets>
  <definedNames>
    <definedName name="_xlnm._FilterDatabase" localSheetId="2" hidden="1">'Students Fee Details'!$A$1:$E$500000</definedName>
    <definedName name="_xlnm.Criteria" localSheetId="3">Report!$B$1:$B$2</definedName>
    <definedName name="data">Registration!$A$3:$H$5</definedName>
    <definedName name="_xlnm.Extract" localSheetId="3">Report!$A$3:$E$3</definedName>
    <definedName name="photo">INDEX(Registration!#REF!,MATCH(Fee!$D$4,Registration!$A$2:$A$5,0))</definedName>
    <definedName name="photorp">INDEX(Registration!#REF!,MATCH(Report!$A$4,Registration!$A$2:$A$5,0))</definedName>
    <definedName name="roll">Registration!$A$2:$A$5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<sst xmlns="http://schemas.openxmlformats.org/spreadsheetml/2006/main" count="76" uniqueCount="30">
  <si>
    <t>Registration No.</t>
  </si>
  <si>
    <t>Admission Date</t>
  </si>
  <si>
    <t>Student Name</t>
  </si>
  <si>
    <t>Guardian Name</t>
  </si>
  <si>
    <t>Course</t>
  </si>
  <si>
    <t>Course Fee</t>
  </si>
  <si>
    <t>Course Duration</t>
  </si>
  <si>
    <t>Mobile No.</t>
  </si>
  <si>
    <t>Ravi kumar</t>
  </si>
  <si>
    <t>Shyam kaumr</t>
  </si>
  <si>
    <t>Adca</t>
  </si>
  <si>
    <t>97815xxxx</t>
  </si>
  <si>
    <t>Rahul singh</t>
  </si>
  <si>
    <t>Ravi singh</t>
  </si>
  <si>
    <t>Bcc</t>
  </si>
  <si>
    <t>Shambhu</t>
  </si>
  <si>
    <t>Shyam raj</t>
  </si>
  <si>
    <t>Tally</t>
  </si>
  <si>
    <t>Fee</t>
  </si>
  <si>
    <t>Report</t>
  </si>
  <si>
    <t>Reg. No.</t>
  </si>
  <si>
    <t>Name</t>
  </si>
  <si>
    <t>Total Recived Fee</t>
  </si>
  <si>
    <t>Fee Received</t>
  </si>
  <si>
    <t>Panding Fee</t>
  </si>
  <si>
    <t>Date</t>
  </si>
  <si>
    <t>Total Month</t>
  </si>
  <si>
    <t>Roll No</t>
  </si>
  <si>
    <t/>
  </si>
  <si>
    <t>Fee Recived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</si>
</sst>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5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  <numFmt numFmtId="178" formatCode="&quot;₹&quot;\ #,##0;[Red]&quot;₹&quot;\ \-#,##0"/>
  </numFmts>
  <fonts count="36">
    <font>
      <sz val="11"/>
      <color theme="1"/>
      <name val="Calibri"/>
      <charset val="134"/>
      <scheme val="minor"/>
    </font>
    <font>
      <b/>
      <sz val="11"/>
      <color theme="0"/>
      <name val="Calibri"/>
      <charset val="134"/>
      <scheme val="minor"/>
    </font>
    <font>
      <b/>
      <sz val="16"/>
      <color theme="0"/>
      <name val="Aharoni"/>
      <charset val="177"/>
    </font>
    <font>
      <b/>
      <sz val="14"/>
      <color theme="0"/>
      <name val="Segoe UI Light"/>
      <charset val="134"/>
    </font>
    <font>
      <b/>
      <sz val="9"/>
      <name val="Calibri"/>
      <charset val="134"/>
      <scheme val="minor"/>
    </font>
    <font>
      <b/>
      <sz val="20"/>
      <name val="Calibri"/>
      <charset val="134"/>
      <scheme val="minor"/>
    </font>
    <font>
      <sz val="18"/>
      <color theme="1"/>
      <name val="Calibri"/>
      <charset val="134"/>
      <scheme val="minor"/>
    </font>
    <font>
      <b/>
      <sz val="16"/>
      <color theme="0"/>
      <name val="Calibri"/>
      <charset val="134"/>
      <scheme val="minor"/>
    </font>
    <font>
      <b/>
      <sz val="20"/>
      <color theme="0"/>
      <name val="Calibri"/>
      <charset val="134"/>
      <scheme val="minor"/>
    </font>
    <font>
      <sz val="15"/>
      <color theme="1"/>
      <name val="Calibri"/>
      <charset val="134"/>
      <scheme val="minor"/>
    </font>
    <font>
      <sz val="12"/>
      <color theme="1"/>
      <name val="Calibri"/>
      <charset val="134"/>
      <scheme val="minor"/>
    </font>
    <font>
      <sz val="20"/>
      <color theme="1"/>
      <name val="Calibri"/>
      <charset val="134"/>
      <scheme val="minor"/>
    </font>
    <font>
      <sz val="9"/>
      <color theme="1"/>
      <name val="Calibri"/>
      <charset val="134"/>
      <scheme val="minor"/>
    </font>
    <font>
      <sz val="11"/>
      <color theme="0"/>
      <name val="Calibri"/>
      <charset val="134"/>
      <scheme val="minor"/>
    </font>
    <font>
      <b/>
      <sz val="16"/>
      <color rgb="FFFF0000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sz val="11"/>
      <color theme="1"/>
      <name val="Calibri"/>
      <charset val="134"/>
      <scheme val="minor"/>
    </font>
    <font>
      <u/>
      <sz val="11"/>
      <color theme="10"/>
      <name val="Calibri"/>
      <charset val="134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"/>
        <bgColor indexed="64"/>
      </patternFill>
    </fill>
    <fill>
      <gradientFill degree="270">
        <stop position="0">
          <color rgb="FF002060"/>
        </stop>
        <stop position="1">
          <color theme="0"/>
        </stop>
      </gradientFill>
    </fill>
    <fill>
      <gradientFill degree="90">
        <stop position="0">
          <color theme="0"/>
        </stop>
        <stop position="1">
          <color rgb="FF00B050"/>
        </stop>
      </gradient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theme="4" tint="0.399975585192419"/>
      </top>
      <bottom/>
      <diagonal/>
    </border>
    <border>
      <left style="thin">
        <color auto="1"/>
      </left>
      <right style="thin">
        <color auto="1"/>
      </right>
      <top style="thin">
        <color theme="4" tint="0.399975585192419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176" fontId="16" fillId="0" borderId="0" applyFont="0" applyFill="0" applyBorder="0" applyAlignment="0" applyProtection="0">
      <alignment vertical="center"/>
    </xf>
    <xf numFmtId="44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177" fontId="16" fillId="0" borderId="0" applyFont="0" applyFill="0" applyBorder="0" applyAlignment="0" applyProtection="0">
      <alignment vertical="center"/>
    </xf>
    <xf numFmtId="42" fontId="16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>
      <alignment vertical="center"/>
    </xf>
    <xf numFmtId="0" fontId="16" fillId="10" borderId="13" applyNumberFormat="0" applyFont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14" applyNumberFormat="0" applyFill="0" applyAlignment="0" applyProtection="0">
      <alignment vertical="center"/>
    </xf>
    <xf numFmtId="0" fontId="23" fillId="0" borderId="14" applyNumberFormat="0" applyFill="0" applyAlignment="0" applyProtection="0">
      <alignment vertical="center"/>
    </xf>
    <xf numFmtId="0" fontId="24" fillId="0" borderId="15" applyNumberFormat="0" applyFill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11" borderId="16" applyNumberFormat="0" applyAlignment="0" applyProtection="0">
      <alignment vertical="center"/>
    </xf>
    <xf numFmtId="0" fontId="26" fillId="12" borderId="17" applyNumberFormat="0" applyAlignment="0" applyProtection="0">
      <alignment vertical="center"/>
    </xf>
    <xf numFmtId="0" fontId="27" fillId="12" borderId="16" applyNumberFormat="0" applyAlignment="0" applyProtection="0">
      <alignment vertical="center"/>
    </xf>
    <xf numFmtId="0" fontId="28" fillId="13" borderId="18" applyNumberFormat="0" applyAlignment="0" applyProtection="0">
      <alignment vertical="center"/>
    </xf>
    <xf numFmtId="0" fontId="29" fillId="0" borderId="19" applyNumberFormat="0" applyFill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14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3" fillId="16" borderId="0" applyNumberFormat="0" applyBorder="0" applyAlignment="0" applyProtection="0">
      <alignment vertical="center"/>
    </xf>
    <xf numFmtId="0" fontId="34" fillId="17" borderId="0" applyNumberFormat="0" applyBorder="0" applyAlignment="0" applyProtection="0">
      <alignment vertical="center"/>
    </xf>
    <xf numFmtId="0" fontId="35" fillId="18" borderId="0" applyNumberFormat="0" applyBorder="0" applyAlignment="0" applyProtection="0">
      <alignment vertical="center"/>
    </xf>
    <xf numFmtId="0" fontId="35" fillId="19" borderId="0" applyNumberFormat="0" applyBorder="0" applyAlignment="0" applyProtection="0">
      <alignment vertical="center"/>
    </xf>
    <xf numFmtId="0" fontId="34" fillId="20" borderId="0" applyNumberFormat="0" applyBorder="0" applyAlignment="0" applyProtection="0">
      <alignment vertical="center"/>
    </xf>
    <xf numFmtId="0" fontId="34" fillId="21" borderId="0" applyNumberFormat="0" applyBorder="0" applyAlignment="0" applyProtection="0">
      <alignment vertical="center"/>
    </xf>
    <xf numFmtId="0" fontId="35" fillId="22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34" fillId="24" borderId="0" applyNumberFormat="0" applyBorder="0" applyAlignment="0" applyProtection="0">
      <alignment vertical="center"/>
    </xf>
    <xf numFmtId="0" fontId="34" fillId="25" borderId="0" applyNumberFormat="0" applyBorder="0" applyAlignment="0" applyProtection="0">
      <alignment vertical="center"/>
    </xf>
    <xf numFmtId="0" fontId="35" fillId="26" borderId="0" applyNumberFormat="0" applyBorder="0" applyAlignment="0" applyProtection="0">
      <alignment vertical="center"/>
    </xf>
    <xf numFmtId="0" fontId="35" fillId="27" borderId="0" applyNumberFormat="0" applyBorder="0" applyAlignment="0" applyProtection="0">
      <alignment vertical="center"/>
    </xf>
    <xf numFmtId="0" fontId="34" fillId="28" borderId="0" applyNumberFormat="0" applyBorder="0" applyAlignment="0" applyProtection="0">
      <alignment vertical="center"/>
    </xf>
    <xf numFmtId="0" fontId="34" fillId="29" borderId="0" applyNumberFormat="0" applyBorder="0" applyAlignment="0" applyProtection="0">
      <alignment vertical="center"/>
    </xf>
    <xf numFmtId="0" fontId="35" fillId="30" borderId="0" applyNumberFormat="0" applyBorder="0" applyAlignment="0" applyProtection="0">
      <alignment vertical="center"/>
    </xf>
    <xf numFmtId="0" fontId="35" fillId="31" borderId="0" applyNumberFormat="0" applyBorder="0" applyAlignment="0" applyProtection="0">
      <alignment vertical="center"/>
    </xf>
    <xf numFmtId="0" fontId="34" fillId="32" borderId="0" applyNumberFormat="0" applyBorder="0" applyAlignment="0" applyProtection="0">
      <alignment vertical="center"/>
    </xf>
    <xf numFmtId="0" fontId="34" fillId="33" borderId="0" applyNumberFormat="0" applyBorder="0" applyAlignment="0" applyProtection="0">
      <alignment vertical="center"/>
    </xf>
    <xf numFmtId="0" fontId="35" fillId="34" borderId="0" applyNumberFormat="0" applyBorder="0" applyAlignment="0" applyProtection="0">
      <alignment vertical="center"/>
    </xf>
    <xf numFmtId="0" fontId="35" fillId="35" borderId="0" applyNumberFormat="0" applyBorder="0" applyAlignment="0" applyProtection="0">
      <alignment vertical="center"/>
    </xf>
    <xf numFmtId="0" fontId="34" fillId="36" borderId="0" applyNumberFormat="0" applyBorder="0" applyAlignment="0" applyProtection="0">
      <alignment vertical="center"/>
    </xf>
    <xf numFmtId="0" fontId="34" fillId="37" borderId="0" applyNumberFormat="0" applyBorder="0" applyAlignment="0" applyProtection="0">
      <alignment vertical="center"/>
    </xf>
    <xf numFmtId="0" fontId="35" fillId="38" borderId="0" applyNumberFormat="0" applyBorder="0" applyAlignment="0" applyProtection="0">
      <alignment vertical="center"/>
    </xf>
    <xf numFmtId="0" fontId="35" fillId="39" borderId="0" applyNumberFormat="0" applyBorder="0" applyAlignment="0" applyProtection="0">
      <alignment vertical="center"/>
    </xf>
    <xf numFmtId="0" fontId="34" fillId="40" borderId="0" applyNumberFormat="0" applyBorder="0" applyAlignment="0" applyProtection="0">
      <alignment vertical="center"/>
    </xf>
  </cellStyleXfs>
  <cellXfs count="51">
    <xf numFmtId="0" fontId="0" fillId="0" borderId="0" xfId="0"/>
    <xf numFmtId="0" fontId="0" fillId="2" borderId="0" xfId="0" applyFill="1" applyBorder="1"/>
    <xf numFmtId="0" fontId="1" fillId="3" borderId="1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178" fontId="3" fillId="2" borderId="0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58" fontId="4" fillId="5" borderId="3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58" fontId="0" fillId="0" borderId="1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58" fontId="0" fillId="0" borderId="0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58" fontId="0" fillId="0" borderId="0" xfId="0" applyNumberFormat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58" fontId="4" fillId="5" borderId="4" xfId="0" applyNumberFormat="1" applyFont="1" applyFill="1" applyBorder="1" applyAlignment="1">
      <alignment horizontal="center" vertical="center"/>
    </xf>
    <xf numFmtId="0" fontId="0" fillId="0" borderId="0" xfId="0" applyFill="1" applyProtection="1">
      <protection locked="0"/>
    </xf>
    <xf numFmtId="0" fontId="0" fillId="0" borderId="0" xfId="0" applyProtection="1">
      <protection locked="0"/>
    </xf>
    <xf numFmtId="0" fontId="0" fillId="6" borderId="0" xfId="0" applyFill="1" applyProtection="1">
      <protection locked="0"/>
    </xf>
    <xf numFmtId="0" fontId="5" fillId="0" borderId="5" xfId="0" applyFont="1" applyFill="1" applyBorder="1" applyAlignment="1" applyProtection="1">
      <alignment horizontal="center" vertical="center"/>
      <protection locked="0"/>
    </xf>
    <xf numFmtId="0" fontId="5" fillId="0" borderId="6" xfId="0" applyFont="1" applyFill="1" applyBorder="1" applyAlignment="1" applyProtection="1">
      <alignment horizontal="center" vertical="center"/>
      <protection locked="0"/>
    </xf>
    <xf numFmtId="0" fontId="5" fillId="0" borderId="7" xfId="0" applyFont="1" applyFill="1" applyBorder="1" applyAlignment="1" applyProtection="1">
      <alignment horizontal="center" vertical="center"/>
      <protection locked="0"/>
    </xf>
    <xf numFmtId="0" fontId="6" fillId="7" borderId="1" xfId="0" applyFont="1" applyFill="1" applyBorder="1" applyAlignment="1" applyProtection="1">
      <alignment horizontal="center" vertical="center"/>
      <protection locked="0"/>
    </xf>
    <xf numFmtId="0" fontId="7" fillId="8" borderId="1" xfId="0" applyFont="1" applyFill="1" applyBorder="1" applyAlignment="1" applyProtection="1">
      <alignment horizontal="left" vertical="center"/>
      <protection locked="0"/>
    </xf>
    <xf numFmtId="0" fontId="8" fillId="6" borderId="0" xfId="0" applyFont="1" applyFill="1" applyBorder="1" applyAlignment="1" applyProtection="1">
      <alignment horizontal="left" vertical="center"/>
      <protection locked="0"/>
    </xf>
    <xf numFmtId="0" fontId="9" fillId="9" borderId="1" xfId="0" applyFont="1" applyFill="1" applyBorder="1" applyAlignment="1" applyProtection="1">
      <alignment horizontal="center" vertical="center"/>
      <protection locked="0"/>
    </xf>
    <xf numFmtId="0" fontId="10" fillId="7" borderId="1" xfId="0" applyFont="1" applyFill="1" applyBorder="1" applyAlignment="1" applyProtection="1">
      <alignment horizontal="left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8" fillId="0" borderId="0" xfId="0" applyFont="1" applyFill="1" applyBorder="1" applyAlignment="1" applyProtection="1">
      <alignment horizontal="left" vertical="center"/>
      <protection locked="0"/>
    </xf>
    <xf numFmtId="0" fontId="11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12" fillId="7" borderId="1" xfId="0" applyFont="1" applyFill="1" applyBorder="1" applyAlignment="1" applyProtection="1">
      <alignment horizontal="center" vertical="center"/>
      <protection locked="0"/>
    </xf>
    <xf numFmtId="178" fontId="0" fillId="7" borderId="1" xfId="0" applyNumberFormat="1" applyFill="1" applyBorder="1" applyAlignment="1" applyProtection="1">
      <alignment horizontal="center" vertical="center"/>
      <protection locked="0"/>
    </xf>
    <xf numFmtId="178" fontId="9" fillId="9" borderId="1" xfId="0" applyNumberFormat="1" applyFont="1" applyFill="1" applyBorder="1" applyAlignment="1" applyProtection="1">
      <alignment horizontal="center" vertical="center"/>
      <protection locked="0"/>
    </xf>
    <xf numFmtId="58" fontId="0" fillId="0" borderId="0" xfId="0" applyNumberFormat="1" applyFill="1" applyBorder="1" applyProtection="1">
      <protection locked="0"/>
    </xf>
    <xf numFmtId="58" fontId="13" fillId="6" borderId="0" xfId="0" applyNumberFormat="1" applyFont="1" applyFill="1" applyAlignment="1" applyProtection="1">
      <alignment horizontal="center" vertical="center"/>
      <protection locked="0"/>
    </xf>
    <xf numFmtId="22" fontId="9" fillId="9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0" fillId="7" borderId="1" xfId="0" applyFont="1" applyFill="1" applyBorder="1" applyAlignment="1" applyProtection="1">
      <alignment horizontal="left" vertical="center" wrapText="1"/>
      <protection locked="0"/>
    </xf>
    <xf numFmtId="0" fontId="0" fillId="0" borderId="0" xfId="0" applyFill="1" applyBorder="1" applyProtection="1">
      <protection locked="0"/>
    </xf>
    <xf numFmtId="0" fontId="0" fillId="7" borderId="1" xfId="0" applyFont="1" applyFill="1" applyBorder="1" applyAlignment="1" applyProtection="1">
      <alignment horizontal="center" vertical="center"/>
      <protection locked="0"/>
    </xf>
    <xf numFmtId="0" fontId="14" fillId="0" borderId="0" xfId="6" applyFont="1" applyAlignment="1" applyProtection="1">
      <alignment horizontal="center"/>
    </xf>
    <xf numFmtId="0" fontId="1" fillId="2" borderId="0" xfId="0" applyFont="1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5" fillId="0" borderId="8" xfId="0" applyFont="1" applyFill="1" applyBorder="1" applyAlignment="1">
      <alignment horizontal="center" vertical="center" wrapText="1"/>
    </xf>
    <xf numFmtId="0" fontId="0" fillId="0" borderId="9" xfId="0" applyFont="1" applyFill="1" applyBorder="1" applyAlignment="1">
      <alignment horizontal="center" vertical="center"/>
    </xf>
    <xf numFmtId="58" fontId="0" fillId="0" borderId="1" xfId="0" applyNumberFormat="1" applyFont="1" applyFill="1" applyBorder="1" applyAlignment="1">
      <alignment horizontal="center" vertical="center"/>
    </xf>
    <xf numFmtId="0" fontId="0" fillId="0" borderId="10" xfId="0" applyFont="1" applyFill="1" applyBorder="1" applyAlignment="1">
      <alignment horizontal="center" vertical="center"/>
    </xf>
    <xf numFmtId="0" fontId="0" fillId="0" borderId="11" xfId="0" applyFont="1" applyFill="1" applyBorder="1" applyAlignment="1">
      <alignment horizontal="center" vertical="center"/>
    </xf>
    <xf numFmtId="58" fontId="0" fillId="0" borderId="12" xfId="0" applyNumberFormat="1" applyFont="1" applyFill="1" applyBorder="1" applyAlignment="1">
      <alignment horizontal="center"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13"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numFmt numFmtId="179" formatCode="dd/mm/yyyy"/>
      <alignment horizontal="center" vertical="center"/>
    </dxf>
  </dxfs>
  <tableStyles count="0" defaultTableStyle="TableStyleMedium2" defaultPivotStyle="PivotStyleLight16"/>
  <colors>
    <mruColors>
      <color rgb="00030EE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868866</xdr:colOff>
      <xdr:row>12</xdr:row>
      <xdr:rowOff>176561</xdr:rowOff>
    </xdr:from>
    <xdr:to>
      <xdr:col>3</xdr:col>
      <xdr:colOff>1417134</xdr:colOff>
      <xdr:row>14</xdr:row>
      <xdr:rowOff>116158</xdr:rowOff>
    </xdr:to>
    <xdr:sp macro="[0]!Save">
      <xdr:nvSpPr>
        <xdr:cNvPr id="5" name="Rectangle 4"/>
        <xdr:cNvSpPr/>
      </xdr:nvSpPr>
      <xdr:spPr>
        <a:xfrm>
          <a:off x="954405" y="2581275"/>
          <a:ext cx="1938655" cy="401320"/>
        </a:xfrm>
        <a:prstGeom prst="rect">
          <a:avLst/>
        </a:prstGeom>
        <a:gradFill flip="none" rotWithShape="1">
          <a:gsLst>
            <a:gs pos="0">
              <a:srgbClr val="00B050"/>
            </a:gs>
            <a:gs pos="41000">
              <a:srgbClr val="00B050">
                <a:alpha val="83000"/>
              </a:srgbClr>
            </a:gs>
            <a:gs pos="100000">
              <a:schemeClr val="tx1"/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Received</a:t>
          </a:r>
          <a:endParaRPr lang="en-US" sz="20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2</xdr:col>
      <xdr:colOff>86266</xdr:colOff>
      <xdr:row>0</xdr:row>
      <xdr:rowOff>100642</xdr:rowOff>
    </xdr:from>
    <xdr:to>
      <xdr:col>2</xdr:col>
      <xdr:colOff>646981</xdr:colOff>
      <xdr:row>1</xdr:row>
      <xdr:rowOff>117716</xdr:rowOff>
    </xdr:to>
    <xdr:sp macro="[0]!report">
      <xdr:nvSpPr>
        <xdr:cNvPr id="2" name="Flowchart: Alternate Process 1"/>
        <xdr:cNvSpPr/>
      </xdr:nvSpPr>
      <xdr:spPr>
        <a:xfrm>
          <a:off x="1571625" y="100330"/>
          <a:ext cx="560705" cy="207645"/>
        </a:xfrm>
        <a:prstGeom prst="flowChartAlternateProcess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FIND</a:t>
          </a:r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3" name="Table3" displayName="Table3" ref="A1:H5" totalsRowShown="0">
  <autoFilter xmlns:etc="http://www.wps.cn/officeDocument/2017/etCustomData" ref="A1:H5" etc:filterBottomFollowUsedRange="0"/>
  <tableColumns count="8">
    <tableColumn id="1" name="Registration No." dataDxfId="0"/>
    <tableColumn id="2" name="Admission Date" dataDxfId="1"/>
    <tableColumn id="3" name="Student Name" dataDxfId="2"/>
    <tableColumn id="4" name="Guardian Name" dataDxfId="3"/>
    <tableColumn id="5" name="Course" dataDxfId="4"/>
    <tableColumn id="6" name="Course Fee" dataDxfId="5"/>
    <tableColumn id="7" name="Course Duration" dataDxfId="6"/>
    <tableColumn id="8" name="Mobile No." dataDxfId="7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1" name="Table1" displayName="Table1" ref="A1:E12" totalsRowShown="0">
  <tableColumns count="5">
    <tableColumn id="1" name="Roll No" dataDxfId="8"/>
    <tableColumn id="2" name="Student Name" dataDxfId="9"/>
    <tableColumn id="3" name="Course" dataDxfId="10"/>
    <tableColumn id="4" name="Fee Received" dataDxfId="11"/>
    <tableColumn id="5" name="Date" dataDxfId="1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range">
      <a:dk1>
        <a:srgbClr val="000000"/>
      </a:dk1>
      <a:lt1>
        <a:sysClr val="window" lastClr="FFFFFF"/>
      </a:lt1>
      <a:dk2>
        <a:srgbClr val="637052"/>
      </a:dk2>
      <a:lt2>
        <a:srgbClr val="CCDDEA"/>
      </a:lt2>
      <a:accent1>
        <a:srgbClr val="E48312"/>
      </a:accent1>
      <a:accent2>
        <a:srgbClr val="BD582C"/>
      </a:accent2>
      <a:accent3>
        <a:srgbClr val="865640"/>
      </a:accent3>
      <a:accent4>
        <a:srgbClr val="9B8357"/>
      </a:accent4>
      <a:accent5>
        <a:srgbClr val="C2BC80"/>
      </a:accent5>
      <a:accent6>
        <a:srgbClr val="94A088"/>
      </a:accent6>
      <a:hlink>
        <a:srgbClr val="2998E3"/>
      </a:hlink>
      <a:folHlink>
        <a:srgbClr val="8C8C8C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H8"/>
  <sheetViews>
    <sheetView tabSelected="1" zoomScale="160" zoomScaleNormal="160" workbookViewId="0">
      <selection activeCell="A1" sqref="A1:H5"/>
    </sheetView>
  </sheetViews>
  <sheetFormatPr defaultColWidth="9" defaultRowHeight="15" outlineLevelRow="7" outlineLevelCol="7"/>
  <cols>
    <col min="1" max="1" width="15.8571428571429" style="12" customWidth="1"/>
    <col min="2" max="2" width="15.4285714285714" style="12" customWidth="1"/>
    <col min="3" max="3" width="14.1428571428571" style="12" customWidth="1"/>
    <col min="4" max="4" width="15.4285714285714" style="12" customWidth="1"/>
    <col min="5" max="5" width="9.14285714285714" style="12"/>
    <col min="6" max="6" width="11.1428571428571" style="12" customWidth="1"/>
    <col min="7" max="7" width="10" style="12" customWidth="1"/>
    <col min="8" max="8" width="11.2857142857143" style="12" customWidth="1"/>
    <col min="9" max="16384" width="9.14285714285714" style="12"/>
  </cols>
  <sheetData>
    <row r="1" ht="30" customHeight="1" spans="1:8">
      <c r="A1" s="42" t="s">
        <v>0</v>
      </c>
      <c r="B1" s="43" t="s">
        <v>1</v>
      </c>
      <c r="C1" s="43" t="s">
        <v>2</v>
      </c>
      <c r="D1" s="43" t="s">
        <v>3</v>
      </c>
      <c r="E1" s="43" t="s">
        <v>4</v>
      </c>
      <c r="F1" s="43" t="s">
        <v>5</v>
      </c>
      <c r="G1" s="43" t="s">
        <v>6</v>
      </c>
      <c r="H1" s="43" t="s">
        <v>7</v>
      </c>
    </row>
    <row r="2" ht="15.75" hidden="1" customHeight="1" spans="1:8">
      <c r="A2" s="44">
        <v>0</v>
      </c>
      <c r="B2" s="45"/>
      <c r="C2" s="45"/>
      <c r="D2" s="45"/>
      <c r="E2" s="45"/>
      <c r="F2" s="45"/>
      <c r="G2" s="45"/>
      <c r="H2" s="45"/>
    </row>
    <row r="3" ht="30" customHeight="1" spans="1:8">
      <c r="A3" s="46">
        <v>1</v>
      </c>
      <c r="B3" s="47">
        <v>45995</v>
      </c>
      <c r="C3" s="48" t="s">
        <v>8</v>
      </c>
      <c r="D3" s="48" t="s">
        <v>9</v>
      </c>
      <c r="E3" s="48" t="s">
        <v>10</v>
      </c>
      <c r="F3" s="48">
        <v>1800</v>
      </c>
      <c r="G3" s="48">
        <v>12</v>
      </c>
      <c r="H3" s="48" t="s">
        <v>11</v>
      </c>
    </row>
    <row r="4" ht="30" customHeight="1" spans="1:8">
      <c r="A4" s="46">
        <v>2</v>
      </c>
      <c r="B4" s="47">
        <v>45995</v>
      </c>
      <c r="C4" s="48" t="s">
        <v>12</v>
      </c>
      <c r="D4" s="48" t="s">
        <v>13</v>
      </c>
      <c r="E4" s="48" t="s">
        <v>14</v>
      </c>
      <c r="F4" s="48">
        <v>600</v>
      </c>
      <c r="G4" s="48">
        <v>8</v>
      </c>
      <c r="H4" s="48" t="s">
        <v>11</v>
      </c>
    </row>
    <row r="5" ht="30" customHeight="1" spans="1:8">
      <c r="A5" s="49">
        <v>3</v>
      </c>
      <c r="B5" s="50">
        <v>45995</v>
      </c>
      <c r="C5" s="48" t="s">
        <v>15</v>
      </c>
      <c r="D5" s="48" t="s">
        <v>16</v>
      </c>
      <c r="E5" s="48" t="s">
        <v>17</v>
      </c>
      <c r="F5" s="48">
        <v>1000</v>
      </c>
      <c r="G5" s="48">
        <v>4</v>
      </c>
      <c r="H5" s="48" t="s">
        <v>11</v>
      </c>
    </row>
    <row r="8" spans="3:3">
      <c r="C8" s="10"/>
    </row>
  </sheetData>
  <pageMargins left="0.7" right="0.7" top="0.75" bottom="0.75" header="0.3" footer="0.3"/>
  <headerFooter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1:J17"/>
  <sheetViews>
    <sheetView showGridLines="0" showRowColHeaders="0" view="pageLayout" zoomScale="145" zoomScaleNormal="100" showRuler="0" workbookViewId="0">
      <selection activeCell="E16" sqref="E16"/>
    </sheetView>
  </sheetViews>
  <sheetFormatPr defaultColWidth="9" defaultRowHeight="15"/>
  <cols>
    <col min="1" max="1" width="1.28571428571429" style="17" customWidth="1"/>
    <col min="2" max="2" width="20.1428571428571" style="17" customWidth="1"/>
    <col min="3" max="3" width="0.714285714285714" style="18" customWidth="1"/>
    <col min="4" max="4" width="26.2857142857143" style="17" customWidth="1"/>
    <col min="5" max="5" width="6.14285714285714" style="17" customWidth="1"/>
    <col min="6" max="6" width="18.2857142857143" style="17" customWidth="1"/>
    <col min="7" max="7" width="1" style="17" customWidth="1"/>
    <col min="8" max="8" width="15" style="17" customWidth="1"/>
    <col min="9" max="9" width="0.714285714285714" style="17" customWidth="1"/>
    <col min="10" max="10" width="10" style="17" customWidth="1"/>
    <col min="11" max="11" width="5.14285714285714" style="17" customWidth="1"/>
    <col min="12" max="16384" width="9.14285714285714" style="17"/>
  </cols>
  <sheetData>
    <row r="1" ht="15.75"/>
    <row r="2" ht="24.75" customHeight="1" spans="2:8">
      <c r="B2" s="19" t="s">
        <v>18</v>
      </c>
      <c r="C2" s="20"/>
      <c r="D2" s="21"/>
      <c r="F2" s="22" t="s">
        <v>19</v>
      </c>
      <c r="G2" s="22"/>
      <c r="H2" s="22"/>
    </row>
    <row r="3" ht="5.25" customHeight="1"/>
    <row r="4" ht="26.25" spans="2:8">
      <c r="B4" s="23" t="s">
        <v>0</v>
      </c>
      <c r="C4" s="24"/>
      <c r="D4" s="25">
        <v>3</v>
      </c>
      <c r="F4" s="26" t="s">
        <v>20</v>
      </c>
      <c r="H4" s="27">
        <f>D4</f>
        <v>3</v>
      </c>
    </row>
    <row r="5" s="16" customFormat="1" ht="5.25" customHeight="1" spans="2:8">
      <c r="B5" s="28"/>
      <c r="C5" s="24"/>
      <c r="D5" s="29"/>
      <c r="H5" s="30"/>
    </row>
    <row r="6" ht="26.25" spans="2:8">
      <c r="B6" s="23" t="s">
        <v>2</v>
      </c>
      <c r="C6" s="24"/>
      <c r="D6" s="25" t="str">
        <f>IFERROR(VLOOKUP(D4,data,3,0),"")</f>
        <v>Shambhu</v>
      </c>
      <c r="F6" s="26" t="s">
        <v>21</v>
      </c>
      <c r="H6" s="31" t="str">
        <f>IFERROR(VLOOKUP(H4,data,3,0),"")</f>
        <v>Shambhu</v>
      </c>
    </row>
    <row r="7" s="16" customFormat="1" ht="5.25" customHeight="1" spans="2:8">
      <c r="B7" s="28"/>
      <c r="C7" s="24"/>
      <c r="D7" s="29"/>
      <c r="H7" s="30"/>
    </row>
    <row r="8" ht="26.25" spans="2:8">
      <c r="B8" s="23" t="s">
        <v>4</v>
      </c>
      <c r="C8" s="24"/>
      <c r="D8" s="25" t="str">
        <f>IFERROR(VLOOKUP(D4,data,5,0),"")</f>
        <v>Tally</v>
      </c>
      <c r="F8" s="26" t="s">
        <v>22</v>
      </c>
      <c r="H8" s="32">
        <f>SUMIF('Students Fee Details'!A2:A4,Fee!H4,'Students Fee Details'!D2:D4)</f>
        <v>800</v>
      </c>
    </row>
    <row r="9" s="16" customFormat="1" ht="5.25" customHeight="1" spans="2:8">
      <c r="B9" s="28"/>
      <c r="C9" s="24"/>
      <c r="D9" s="29"/>
      <c r="H9" s="30"/>
    </row>
    <row r="10" ht="26.25" spans="2:8">
      <c r="B10" s="23" t="s">
        <v>23</v>
      </c>
      <c r="C10" s="24"/>
      <c r="D10" s="33">
        <v>400</v>
      </c>
      <c r="F10" s="26" t="s">
        <v>24</v>
      </c>
      <c r="H10" s="32">
        <f>SUMIF(roll,Fee!H4,Registration!$F$2:$F$5)-SUMIF('Students Fee Details'!A2:A4,Fee!H4,'Students Fee Details'!D2:D4)</f>
        <v>200</v>
      </c>
    </row>
    <row r="11" s="16" customFormat="1" ht="4.5" customHeight="1" spans="2:8">
      <c r="B11" s="28"/>
      <c r="C11" s="24"/>
      <c r="D11" s="29"/>
      <c r="F11" s="34"/>
      <c r="H11" s="35">
        <f>IFERROR(VLOOKUP(D4,data,2,0),"")</f>
        <v>45995</v>
      </c>
    </row>
    <row r="12" ht="26.25" spans="2:8">
      <c r="B12" s="23" t="s">
        <v>25</v>
      </c>
      <c r="C12" s="24"/>
      <c r="D12" s="36">
        <f ca="1">IF(D4="","",NOW())</f>
        <v>45768.4448958333</v>
      </c>
      <c r="F12" s="26" t="s">
        <v>26</v>
      </c>
      <c r="H12" s="27">
        <f ca="1">IFERROR(DATEDIF(H11,TODAY(),"m"),"")</f>
        <v>-7</v>
      </c>
    </row>
    <row r="13" ht="6" customHeight="1" spans="8:8">
      <c r="H13" s="37"/>
    </row>
    <row r="14" ht="22.5" customHeight="1" spans="5:10">
      <c r="E14" s="16"/>
      <c r="F14" s="38" t="s">
        <v>6</v>
      </c>
      <c r="G14" s="39"/>
      <c r="H14" s="40">
        <f>IFERROR(VLOOKUP(H4,data,7,0),"")</f>
        <v>4</v>
      </c>
      <c r="I14" s="16"/>
      <c r="J14" s="16"/>
    </row>
    <row r="15" spans="5:10">
      <c r="E15" s="16"/>
      <c r="F15" s="16"/>
      <c r="G15" s="16"/>
      <c r="H15" s="16"/>
      <c r="I15" s="16"/>
      <c r="J15" s="16"/>
    </row>
    <row r="17" ht="21" spans="2:8">
      <c r="B17" s="41"/>
      <c r="C17" s="41"/>
      <c r="D17" s="41"/>
      <c r="E17" s="41"/>
      <c r="F17" s="41"/>
      <c r="G17" s="41"/>
      <c r="H17" s="41"/>
    </row>
  </sheetData>
  <mergeCells count="3">
    <mergeCell ref="B2:D2"/>
    <mergeCell ref="F2:H2"/>
    <mergeCell ref="B17:H17"/>
  </mergeCells>
  <dataValidations count="1">
    <dataValidation type="list" allowBlank="1" showInputMessage="1" showErrorMessage="1" sqref="D4">
      <formula1>roll</formula1>
    </dataValidation>
  </dataValidations>
  <pageMargins left="0.238821138211382" right="0.426829268292683" top="0.109649122807018" bottom="0.75" header="0.3" footer="0.3"/>
  <pageSetup paperSize="1" orientation="portrait"/>
  <headerFooter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F12"/>
  <sheetViews>
    <sheetView zoomScale="205" zoomScaleNormal="205" topLeftCell="A2" workbookViewId="0">
      <selection activeCell="E12" sqref="E12"/>
    </sheetView>
  </sheetViews>
  <sheetFormatPr defaultColWidth="9" defaultRowHeight="15" outlineLevelCol="5"/>
  <cols>
    <col min="1" max="1" width="14.4285714285714" style="12" customWidth="1"/>
    <col min="2" max="2" width="17.8571428571429" style="12" customWidth="1"/>
    <col min="3" max="3" width="14.4285714285714" style="12" customWidth="1"/>
    <col min="4" max="4" width="14.1428571428571" style="12" customWidth="1"/>
    <col min="5" max="5" width="16.8571428571429" style="13" customWidth="1"/>
    <col min="6" max="16384" width="9.14285714285714" style="12"/>
  </cols>
  <sheetData>
    <row r="1" spans="1:5">
      <c r="A1" s="14" t="s">
        <v>27</v>
      </c>
      <c r="B1" s="14" t="s">
        <v>2</v>
      </c>
      <c r="C1" s="14" t="s">
        <v>4</v>
      </c>
      <c r="D1" s="14" t="s">
        <v>23</v>
      </c>
      <c r="E1" s="15" t="s">
        <v>25</v>
      </c>
    </row>
    <row r="2" spans="1:6">
      <c r="A2" s="8">
        <v>1</v>
      </c>
      <c r="B2" s="8" t="s">
        <v>8</v>
      </c>
      <c r="C2" s="8" t="s">
        <v>10</v>
      </c>
      <c r="D2" s="8">
        <v>500</v>
      </c>
      <c r="E2" s="9">
        <v>45995</v>
      </c>
      <c r="F2" s="10"/>
    </row>
    <row r="3" spans="1:6">
      <c r="A3" s="10">
        <v>3</v>
      </c>
      <c r="B3" s="10" t="s">
        <v>15</v>
      </c>
      <c r="C3" s="10" t="s">
        <v>17</v>
      </c>
      <c r="D3" s="10">
        <v>800</v>
      </c>
      <c r="E3" s="11">
        <v>45995</v>
      </c>
      <c r="F3" s="10"/>
    </row>
    <row r="4" spans="1:6">
      <c r="A4" s="10">
        <v>1</v>
      </c>
      <c r="B4" s="10" t="s">
        <v>8</v>
      </c>
      <c r="C4" s="10" t="s">
        <v>10</v>
      </c>
      <c r="D4" s="10">
        <v>200</v>
      </c>
      <c r="E4" s="11">
        <v>45995</v>
      </c>
      <c r="F4" s="10"/>
    </row>
    <row r="5" spans="1:6">
      <c r="A5" s="10">
        <v>1</v>
      </c>
      <c r="B5" s="10" t="s">
        <v>8</v>
      </c>
      <c r="C5" s="10" t="s">
        <v>10</v>
      </c>
      <c r="D5" s="10">
        <v>200</v>
      </c>
      <c r="E5" s="11">
        <v>45995</v>
      </c>
      <c r="F5" s="10"/>
    </row>
    <row r="6" spans="1:6">
      <c r="A6" s="10">
        <v>2</v>
      </c>
      <c r="B6" s="10" t="s">
        <v>12</v>
      </c>
      <c r="C6" s="10" t="s">
        <v>14</v>
      </c>
      <c r="D6" s="10">
        <v>700</v>
      </c>
      <c r="E6" s="11">
        <v>45995</v>
      </c>
      <c r="F6" s="10"/>
    </row>
    <row r="7" spans="1:6">
      <c r="A7" s="10">
        <v>1</v>
      </c>
      <c r="B7" s="10" t="s">
        <v>8</v>
      </c>
      <c r="C7" s="10" t="s">
        <v>10</v>
      </c>
      <c r="D7" s="10">
        <v>100</v>
      </c>
      <c r="E7" s="11">
        <v>45995</v>
      </c>
      <c r="F7" s="10"/>
    </row>
    <row r="8" spans="1:5">
      <c r="A8" s="12">
        <v>3</v>
      </c>
      <c r="B8" s="12" t="s">
        <v>15</v>
      </c>
      <c r="C8" s="12" t="s">
        <v>17</v>
      </c>
      <c r="D8" s="12">
        <v>50</v>
      </c>
      <c r="E8" s="13">
        <v>45995</v>
      </c>
    </row>
    <row r="9" spans="1:5">
      <c r="A9" s="12">
        <v>1</v>
      </c>
      <c r="B9" s="12" t="s">
        <v>8</v>
      </c>
      <c r="C9" s="12" t="s">
        <v>10</v>
      </c>
      <c r="D9" s="12">
        <v>200</v>
      </c>
      <c r="E9" s="13">
        <v>45995</v>
      </c>
    </row>
    <row r="10" spans="1:5">
      <c r="A10" s="12">
        <v>1</v>
      </c>
      <c r="B10" s="12" t="s">
        <v>8</v>
      </c>
      <c r="C10" s="12" t="s">
        <v>10</v>
      </c>
      <c r="D10" s="12">
        <v>500</v>
      </c>
      <c r="E10" s="13">
        <v>45995</v>
      </c>
    </row>
    <row r="11" spans="2:5">
      <c r="B11" s="12" t="s">
        <v>28</v>
      </c>
      <c r="C11" s="12" t="s">
        <v>28</v>
      </c>
      <c r="E11" s="13">
        <v>45995</v>
      </c>
    </row>
    <row r="12" spans="1:5">
      <c r="A12" s="12">
        <v>1</v>
      </c>
      <c r="B12" s="12" t="s">
        <v>8</v>
      </c>
      <c r="C12" s="12" t="s">
        <v>10</v>
      </c>
      <c r="D12" s="12">
        <v>500</v>
      </c>
      <c r="E12" s="13">
        <v>45995</v>
      </c>
    </row>
  </sheetData>
  <pageMargins left="0.7" right="0.7" top="0.75" bottom="0.75" header="0.3" footer="0.3"/>
  <headerFooter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E10"/>
  <sheetViews>
    <sheetView showRowColHeaders="0" zoomScale="265" zoomScaleNormal="265" workbookViewId="0">
      <selection activeCell="E9" sqref="E9"/>
    </sheetView>
  </sheetViews>
  <sheetFormatPr defaultColWidth="9" defaultRowHeight="15" outlineLevelCol="4"/>
  <cols>
    <col min="1" max="1" width="6.42857142857143" customWidth="1"/>
    <col min="2" max="2" width="15.8571428571429" customWidth="1"/>
    <col min="3" max="3" width="10.5714285714286" customWidth="1"/>
    <col min="4" max="4" width="13.4285714285714" customWidth="1"/>
    <col min="5" max="5" width="11" customWidth="1"/>
  </cols>
  <sheetData>
    <row r="1" customHeight="1" spans="1:5">
      <c r="A1" s="1"/>
      <c r="B1" s="2" t="s">
        <v>27</v>
      </c>
      <c r="C1" s="3"/>
      <c r="D1" s="4">
        <f>SUM(D4:D600000)</f>
        <v>1200</v>
      </c>
      <c r="E1" s="4"/>
    </row>
    <row r="2" customHeight="1" spans="1:5">
      <c r="A2" s="1"/>
      <c r="B2" s="5">
        <v>1</v>
      </c>
      <c r="C2" s="3"/>
      <c r="D2" s="4"/>
      <c r="E2" s="4"/>
    </row>
    <row r="3" spans="1:5">
      <c r="A3" s="6" t="s">
        <v>27</v>
      </c>
      <c r="B3" s="6" t="s">
        <v>2</v>
      </c>
      <c r="C3" s="6" t="s">
        <v>4</v>
      </c>
      <c r="D3" s="6" t="s">
        <v>29</v>
      </c>
      <c r="E3" s="7" t="s">
        <v>25</v>
      </c>
    </row>
    <row r="4" spans="1:5">
      <c r="A4" s="8">
        <v>1</v>
      </c>
      <c r="B4" s="8" t="s">
        <v>8</v>
      </c>
      <c r="C4" s="8" t="s">
        <v>10</v>
      </c>
      <c r="D4" s="8">
        <v>500</v>
      </c>
      <c r="E4" s="9">
        <v>45995</v>
      </c>
    </row>
    <row r="5" spans="1:5">
      <c r="A5" s="10">
        <v>1</v>
      </c>
      <c r="B5" s="10" t="s">
        <v>8</v>
      </c>
      <c r="C5" s="10" t="s">
        <v>10</v>
      </c>
      <c r="D5" s="10">
        <v>200</v>
      </c>
      <c r="E5" s="11">
        <v>45995</v>
      </c>
    </row>
    <row r="6" spans="1:5">
      <c r="A6" s="10">
        <v>1</v>
      </c>
      <c r="B6" s="10" t="s">
        <v>8</v>
      </c>
      <c r="C6" s="10" t="s">
        <v>10</v>
      </c>
      <c r="D6" s="10">
        <v>200</v>
      </c>
      <c r="E6" s="11">
        <v>45995</v>
      </c>
    </row>
    <row r="7" spans="1:5">
      <c r="A7" s="10">
        <v>1</v>
      </c>
      <c r="B7" s="10" t="s">
        <v>8</v>
      </c>
      <c r="C7" s="10" t="s">
        <v>10</v>
      </c>
      <c r="D7" s="10">
        <v>100</v>
      </c>
      <c r="E7" s="11">
        <v>45995</v>
      </c>
    </row>
    <row r="8" spans="1:5">
      <c r="A8" s="12">
        <v>1</v>
      </c>
      <c r="B8" s="12" t="s">
        <v>8</v>
      </c>
      <c r="C8" s="12" t="s">
        <v>10</v>
      </c>
      <c r="D8" s="12">
        <v>200</v>
      </c>
      <c r="E8" s="13">
        <v>45995</v>
      </c>
    </row>
    <row r="9" spans="1:5">
      <c r="A9" s="10"/>
      <c r="B9" s="10"/>
      <c r="C9" s="10"/>
      <c r="D9" s="10"/>
      <c r="E9" s="11"/>
    </row>
    <row r="10" spans="1:5">
      <c r="A10" s="12"/>
      <c r="B10" s="12"/>
      <c r="C10" s="12"/>
      <c r="D10" s="12"/>
      <c r="E10" s="13"/>
    </row>
  </sheetData>
  <mergeCells count="3">
    <mergeCell ref="C1:C2"/>
    <mergeCell ref="D1:D2"/>
    <mergeCell ref="E1:E2"/>
  </mergeCells>
  <dataValidations count="1">
    <dataValidation type="list" allowBlank="1" showInputMessage="1" showErrorMessage="1" sqref="B1">
      <formula1>Extract</formula1>
    </dataValidation>
  </dataValidations>
  <pageMargins left="0.7" right="0.7" top="0.75" bottom="0.75" header="0.3" footer="0.3"/>
  <pageSetup paperSize="1" orientation="portrait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Registration</vt:lpstr>
      <vt:lpstr>Fee</vt:lpstr>
      <vt:lpstr>Students Fee Details</vt:lpstr>
      <vt:lpstr>Report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 Tech</dc:creator>
  <cp:lastModifiedBy>Dhananjay Pandey</cp:lastModifiedBy>
  <dcterms:created xsi:type="dcterms:W3CDTF">2022-03-22T04:02:00Z</dcterms:created>
  <dcterms:modified xsi:type="dcterms:W3CDTF">2025-04-21T05:11:09Z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CD43606C93894D3B8582948911F8D707_12</vt:lpwstr>
  </property>
  <property fmtid="{D5CDD505-2E9C-101B-9397-08002B2CF9AE}" pid="3" name="KSOProductBuildVer">
    <vt:lpwstr>1033-12.2.0.20795</vt:lpwstr>
  </property>
</Properties>
</file>